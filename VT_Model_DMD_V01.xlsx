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2\Veda_models\MSc_SELECT_IND_8760\"/>
    </mc:Choice>
  </mc:AlternateContent>
  <xr:revisionPtr revIDLastSave="0" documentId="13_ncr:1_{103FB226-9C5E-4924-B892-41011D882CCB}" xr6:coauthVersionLast="47" xr6:coauthVersionMax="47" xr10:uidLastSave="{00000000-0000-0000-0000-000000000000}"/>
  <bookViews>
    <workbookView xWindow="4770" yWindow="5340" windowWidth="27885" windowHeight="15435" tabRatio="901" activeTab="3" xr2:uid="{00000000-000D-0000-FFFF-FFFF00000000}"/>
  </bookViews>
  <sheets>
    <sheet name="SEC_Comm" sheetId="112" r:id="rId1"/>
    <sheet name="SEC_Processes" sheetId="140" r:id="rId2"/>
    <sheet name="FINAL_DEMAD_PRC" sheetId="139" r:id="rId3"/>
    <sheet name="DEMAND" sheetId="128" r:id="rId4"/>
  </sheets>
  <externalReferences>
    <externalReference r:id="rId5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28" l="1"/>
  <c r="E8" i="128"/>
  <c r="F8" i="128"/>
  <c r="G8" i="128"/>
  <c r="H8" i="128"/>
  <c r="I8" i="128"/>
  <c r="D9" i="128"/>
  <c r="E9" i="128"/>
  <c r="F9" i="128"/>
  <c r="G9" i="128"/>
  <c r="H9" i="128"/>
  <c r="I9" i="128"/>
  <c r="C9" i="128"/>
  <c r="C8" i="128"/>
  <c r="B9" i="128"/>
  <c r="E12" i="139"/>
  <c r="D11" i="139"/>
  <c r="B10" i="139" l="1"/>
  <c r="E9" i="139"/>
  <c r="D8" i="139"/>
  <c r="D7" i="139"/>
  <c r="B7" i="139"/>
  <c r="I13" i="128"/>
  <c r="H13" i="128"/>
  <c r="F13" i="128"/>
  <c r="D13" i="128"/>
  <c r="C7" i="1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F4B53DF6-885F-4626-ACE2-D1AC452333C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<sst xmlns="http://schemas.openxmlformats.org/spreadsheetml/2006/main" count="100" uniqueCount="79">
  <si>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</si>
  <si>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</si>
  <si>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</si>
  <si>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</si>
  <si>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</si>
  <si>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</si>
  <si>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</si>
  <si>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</si>
  <si>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</si>
  <si>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</si>
  <si>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</si>
  <si>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</si>
  <si>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</si>
  <si>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</si>
  <si>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</si>
  <si>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</si>
  <si>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</si>
  <si>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PJ</t>
  </si>
  <si>
    <t>DAYNITE</t>
  </si>
  <si>
    <t>Electricity - Final Energy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</si>
  <si>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</si>
  <si>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</si>
  <si>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</si>
  <si>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</si>
  <si>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</si>
  <si>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</si>
  <si>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</si>
  <si>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</si>
  <si>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</si>
  <si>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</si>
  <si>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</si>
  <si>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</si>
  <si>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</si>
  <si>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</si>
  <si>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</si>
  <si>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</si>
  <si>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</si>
  <si>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</si>
  <si>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</si>
  <si>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Electricity - Final Energy Demand</t>
  </si>
  <si>
    <t>PJa</t>
  </si>
  <si>
    <t>Final Energy Consumption Technologies</t>
  </si>
  <si>
    <t>~FI_T</t>
  </si>
  <si>
    <t>*TechDesc</t>
  </si>
  <si>
    <t>Comm-IN</t>
  </si>
  <si>
    <t>Comm-OUT</t>
  </si>
  <si>
    <t>EFF</t>
  </si>
  <si>
    <t>CAP2ACT</t>
  </si>
  <si>
    <t>\I: Technology Name</t>
  </si>
  <si>
    <t>Commodity Input</t>
  </si>
  <si>
    <t>Commodity Output</t>
  </si>
  <si>
    <t>Efficiency</t>
  </si>
  <si>
    <t>Capacity to Activity Factor</t>
  </si>
  <si>
    <t>Demand</t>
  </si>
  <si>
    <t>~FI_T:DEMAND</t>
  </si>
  <si>
    <t>\I: Commodity Name</t>
  </si>
  <si>
    <t>Annual Demand Value [PJ]</t>
  </si>
  <si>
    <t>Source:</t>
  </si>
  <si>
    <t>Visualisation Platform | ENTSOs TYNDP 2024 Scenarios</t>
  </si>
  <si>
    <t>NL</t>
  </si>
  <si>
    <t>TWh</t>
  </si>
  <si>
    <t>ELC_FIN</t>
  </si>
  <si>
    <t>ELC_GRID_RES</t>
  </si>
  <si>
    <t>ELC_GRID</t>
  </si>
  <si>
    <t>NRG</t>
  </si>
  <si>
    <t>DEM</t>
  </si>
  <si>
    <t>ELC_FIN_DEM</t>
  </si>
  <si>
    <t>DMD</t>
  </si>
  <si>
    <t xml:space="preserve">Electricity grid RES </t>
  </si>
  <si>
    <t xml:space="preserve">Electricity grid non-RES </t>
  </si>
  <si>
    <t>Supportive calculations below:</t>
  </si>
  <si>
    <t>Legend:</t>
  </si>
  <si>
    <t xml:space="preserve"> ENTSO data points</t>
  </si>
  <si>
    <t>FX</t>
  </si>
  <si>
    <t>ELC_IND_FIN</t>
  </si>
  <si>
    <t>Electricity - Industry Final Energy</t>
  </si>
  <si>
    <t>ELC_IND_FIN_DEM</t>
  </si>
  <si>
    <t>Electricity - Industry Final Energy Demand</t>
  </si>
  <si>
    <t>ELC_IND_RES_SUM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</si>
</sst>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€_-;\-* #,##0.00\ _€_-;_-* &quot;-&quot;??\ _€_-;_-@_-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#,##0.00\ &quot;Pts&quot;;[Red]\-#,##0.00\ &quot;Pts&quot;"/>
    <numFmt numFmtId="176" formatCode="#,##0."/>
    <numFmt numFmtId="177" formatCode="&quot;$&quot;#."/>
    <numFmt numFmtId="178" formatCode="m/d/yy\ h:mm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0.0"/>
  </numFmts>
  <fonts count="112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sz val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6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12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12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6" fillId="4" borderId="0" applyNumberFormat="0" applyBorder="0" applyAlignment="0" applyProtection="0"/>
    <xf numFmtId="0" fontId="56" fillId="4" borderId="0" applyNumberFormat="0" applyBorder="0" applyAlignment="0" applyProtection="0"/>
    <xf numFmtId="0" fontId="12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6" fillId="4" borderId="0" applyNumberFormat="0" applyBorder="0" applyAlignment="0" applyProtection="0"/>
    <xf numFmtId="0" fontId="56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6" fillId="6" borderId="0" applyNumberFormat="0" applyBorder="0" applyAlignment="0" applyProtection="0"/>
    <xf numFmtId="0" fontId="56" fillId="6" borderId="0" applyNumberFormat="0" applyBorder="0" applyAlignment="0" applyProtection="0"/>
    <xf numFmtId="0" fontId="12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6" fillId="6" borderId="0" applyNumberFormat="0" applyBorder="0" applyAlignment="0" applyProtection="0"/>
    <xf numFmtId="0" fontId="56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12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2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12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12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13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3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3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3" borderId="0" applyNumberFormat="0" applyBorder="0" applyAlignment="0" applyProtection="0"/>
    <xf numFmtId="0" fontId="100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3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175" fontId="5" fillId="20" borderId="1">
      <alignment horizontal="center" vertical="center"/>
    </xf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13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7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13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7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13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7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13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7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5" fillId="21" borderId="2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33" fillId="0" borderId="0" applyNumberFormat="0" applyFill="0" applyBorder="0" applyAlignment="0" applyProtection="0"/>
    <xf numFmtId="176" fontId="80" fillId="0" borderId="0">
      <protection locked="0"/>
    </xf>
    <xf numFmtId="0" fontId="81" fillId="0" borderId="0"/>
    <xf numFmtId="0" fontId="82" fillId="0" borderId="0"/>
    <xf numFmtId="176" fontId="80" fillId="0" borderId="0">
      <protection locked="0"/>
    </xf>
    <xf numFmtId="177" fontId="80" fillId="0" borderId="0">
      <protection locked="0"/>
    </xf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8" fillId="7" borderId="3" applyNumberFormat="0" applyAlignment="0" applyProtection="0"/>
    <xf numFmtId="0" fontId="58" fillId="7" borderId="3" applyNumberFormat="0" applyAlignment="0" applyProtection="0"/>
    <xf numFmtId="0" fontId="22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8" fillId="7" borderId="3" applyNumberFormat="0" applyAlignment="0" applyProtection="0"/>
    <xf numFmtId="0" fontId="58" fillId="7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2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80" fillId="0" borderId="0">
      <protection locked="0"/>
    </xf>
    <xf numFmtId="178" fontId="5" fillId="0" borderId="0" applyFont="0" applyFill="0" applyBorder="0" applyAlignment="0" applyProtection="0">
      <alignment wrapText="1"/>
    </xf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18" fillId="4" borderId="0" applyNumberFormat="0" applyBorder="0" applyAlignment="0" applyProtection="0"/>
    <xf numFmtId="0" fontId="101" fillId="41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22" fillId="7" borderId="3" applyNumberFormat="0" applyAlignment="0" applyProtection="0"/>
    <xf numFmtId="0" fontId="27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9" fontId="80" fillId="0" borderId="0">
      <protection locked="0"/>
    </xf>
    <xf numFmtId="0" fontId="83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38" fontId="6" fillId="23" borderId="0" applyNumberFormat="0" applyBorder="0" applyAlignment="0" applyProtection="0"/>
    <xf numFmtId="0" fontId="18" fillId="4" borderId="0" applyNumberFormat="0" applyBorder="0" applyAlignment="0" applyProtection="0"/>
    <xf numFmtId="0" fontId="84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19" fillId="0" borderId="6" applyNumberFormat="0" applyFill="0" applyAlignment="0" applyProtection="0"/>
    <xf numFmtId="0" fontId="85" fillId="0" borderId="0">
      <protection locked="0"/>
    </xf>
    <xf numFmtId="0" fontId="19" fillId="0" borderId="6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0" fillId="0" borderId="7" applyNumberFormat="0" applyFill="0" applyAlignment="0" applyProtection="0"/>
    <xf numFmtId="0" fontId="85" fillId="0" borderId="0">
      <protection locked="0"/>
    </xf>
    <xf numFmtId="0" fontId="20" fillId="0" borderId="7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72" fillId="0" borderId="0" applyNumberFormat="0" applyFill="0" applyBorder="0" applyAlignment="0" applyProtection="0"/>
    <xf numFmtId="0" fontId="86" fillId="0" borderId="9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10" fontId="6" fillId="24" borderId="10" applyNumberFormat="0" applyBorder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4" fontId="73" fillId="0" borderId="0" applyBorder="0">
      <alignment horizontal="right" vertical="center"/>
    </xf>
    <xf numFmtId="4" fontId="73" fillId="0" borderId="11">
      <alignment horizontal="right" vertical="center"/>
    </xf>
    <xf numFmtId="40" fontId="7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0" fontId="23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2" fillId="22" borderId="4" applyNumberFormat="0" applyAlignment="0" applyProtection="0"/>
    <xf numFmtId="0" fontId="62" fillId="22" borderId="4" applyNumberFormat="0" applyAlignment="0" applyProtection="0"/>
    <xf numFmtId="0" fontId="16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2" fillId="22" borderId="4" applyNumberFormat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3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4" fillId="0" borderId="7" applyNumberFormat="0" applyFill="0" applyAlignment="0" applyProtection="0"/>
    <xf numFmtId="0" fontId="64" fillId="0" borderId="7" applyNumberFormat="0" applyFill="0" applyAlignment="0" applyProtection="0"/>
    <xf numFmtId="0" fontId="2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4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5" fillId="0" borderId="8" applyNumberFormat="0" applyFill="0" applyAlignment="0" applyProtection="0"/>
    <xf numFmtId="0" fontId="65" fillId="0" borderId="8" applyNumberFormat="0" applyFill="0" applyAlignment="0" applyProtection="0"/>
    <xf numFmtId="0" fontId="2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5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24" fillId="25" borderId="0" applyNumberFormat="0" applyBorder="0" applyAlignment="0" applyProtection="0"/>
    <xf numFmtId="0" fontId="104" fillId="42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37" fontId="87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" fillId="0" borderId="0"/>
    <xf numFmtId="0" fontId="51" fillId="0" borderId="0"/>
    <xf numFmtId="0" fontId="52" fillId="0" borderId="0"/>
    <xf numFmtId="0" fontId="54" fillId="0" borderId="0"/>
    <xf numFmtId="0" fontId="43" fillId="0" borderId="0"/>
    <xf numFmtId="0" fontId="43" fillId="0" borderId="0"/>
    <xf numFmtId="0" fontId="76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51" fillId="0" borderId="0"/>
    <xf numFmtId="0" fontId="43" fillId="0" borderId="0"/>
    <xf numFmtId="0" fontId="43" fillId="0" borderId="0"/>
    <xf numFmtId="0" fontId="52" fillId="0" borderId="0"/>
    <xf numFmtId="0" fontId="52" fillId="0" borderId="0"/>
    <xf numFmtId="0" fontId="99" fillId="0" borderId="0"/>
    <xf numFmtId="0" fontId="105" fillId="0" borderId="0"/>
    <xf numFmtId="0" fontId="7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76" fillId="0" borderId="0"/>
    <xf numFmtId="0" fontId="54" fillId="0" borderId="0"/>
    <xf numFmtId="0" fontId="7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6" fillId="0" borderId="0"/>
    <xf numFmtId="0" fontId="76" fillId="0" borderId="0"/>
    <xf numFmtId="0" fontId="76" fillId="0" borderId="0"/>
    <xf numFmtId="0" fontId="54" fillId="0" borderId="0"/>
    <xf numFmtId="0" fontId="54" fillId="0" borderId="0"/>
    <xf numFmtId="0" fontId="76" fillId="0" borderId="0"/>
    <xf numFmtId="0" fontId="54" fillId="0" borderId="0"/>
    <xf numFmtId="0" fontId="5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52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98" fillId="0" borderId="0"/>
    <xf numFmtId="0" fontId="43" fillId="0" borderId="0"/>
    <xf numFmtId="0" fontId="43" fillId="0" borderId="0"/>
    <xf numFmtId="0" fontId="43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12" fillId="27" borderId="13" applyNumberFormat="0" applyFon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7" fillId="21" borderId="3" applyNumberFormat="0" applyAlignment="0" applyProtection="0"/>
    <xf numFmtId="0" fontId="67" fillId="21" borderId="3" applyNumberFormat="0" applyAlignment="0" applyProtection="0"/>
    <xf numFmtId="0" fontId="15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7" fillId="21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0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8" fillId="0" borderId="0" applyNumberFormat="0" applyFill="0" applyBorder="0" applyAlignment="0" applyProtection="0">
      <alignment horizontal="center"/>
    </xf>
    <xf numFmtId="4" fontId="89" fillId="25" borderId="14" applyNumberFormat="0" applyProtection="0">
      <alignment vertical="center"/>
    </xf>
    <xf numFmtId="4" fontId="90" fillId="28" borderId="14" applyNumberFormat="0" applyProtection="0">
      <alignment vertical="center"/>
    </xf>
    <xf numFmtId="4" fontId="89" fillId="28" borderId="14" applyNumberFormat="0" applyProtection="0">
      <alignment horizontal="left" vertical="center" indent="1"/>
    </xf>
    <xf numFmtId="0" fontId="89" fillId="28" borderId="14" applyNumberFormat="0" applyProtection="0">
      <alignment horizontal="left" vertical="top" indent="1"/>
    </xf>
    <xf numFmtId="4" fontId="89" fillId="29" borderId="0" applyNumberFormat="0" applyProtection="0">
      <alignment horizontal="left" vertical="center" indent="1"/>
    </xf>
    <xf numFmtId="4" fontId="91" fillId="3" borderId="14" applyNumberFormat="0" applyProtection="0">
      <alignment horizontal="right" vertical="center"/>
    </xf>
    <xf numFmtId="4" fontId="91" fillId="9" borderId="14" applyNumberFormat="0" applyProtection="0">
      <alignment horizontal="right" vertical="center"/>
    </xf>
    <xf numFmtId="4" fontId="91" fillId="17" borderId="14" applyNumberFormat="0" applyProtection="0">
      <alignment horizontal="right" vertical="center"/>
    </xf>
    <xf numFmtId="4" fontId="91" fillId="11" borderId="14" applyNumberFormat="0" applyProtection="0">
      <alignment horizontal="right" vertical="center"/>
    </xf>
    <xf numFmtId="4" fontId="91" fillId="15" borderId="14" applyNumberFormat="0" applyProtection="0">
      <alignment horizontal="right" vertical="center"/>
    </xf>
    <xf numFmtId="4" fontId="91" fillId="19" borderId="14" applyNumberFormat="0" applyProtection="0">
      <alignment horizontal="right" vertical="center"/>
    </xf>
    <xf numFmtId="4" fontId="91" fillId="18" borderId="14" applyNumberFormat="0" applyProtection="0">
      <alignment horizontal="right" vertical="center"/>
    </xf>
    <xf numFmtId="4" fontId="91" fillId="30" borderId="14" applyNumberFormat="0" applyProtection="0">
      <alignment horizontal="right" vertical="center"/>
    </xf>
    <xf numFmtId="4" fontId="91" fillId="10" borderId="14" applyNumberFormat="0" applyProtection="0">
      <alignment horizontal="right" vertical="center"/>
    </xf>
    <xf numFmtId="4" fontId="89" fillId="31" borderId="15" applyNumberFormat="0" applyProtection="0">
      <alignment horizontal="left" vertical="center" indent="1"/>
    </xf>
    <xf numFmtId="4" fontId="91" fillId="32" borderId="0" applyNumberFormat="0" applyProtection="0">
      <alignment horizontal="left" vertical="center" indent="1"/>
    </xf>
    <xf numFmtId="4" fontId="92" fillId="33" borderId="0" applyNumberFormat="0" applyProtection="0">
      <alignment horizontal="left" vertical="center" indent="1"/>
    </xf>
    <xf numFmtId="4" fontId="91" fillId="34" borderId="14" applyNumberFormat="0" applyProtection="0">
      <alignment horizontal="right" vertical="center"/>
    </xf>
    <xf numFmtId="4" fontId="91" fillId="32" borderId="0" applyNumberFormat="0" applyProtection="0">
      <alignment horizontal="left" vertical="center" indent="1"/>
    </xf>
    <xf numFmtId="4" fontId="91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1" fillId="24" borderId="14" applyNumberFormat="0" applyProtection="0">
      <alignment vertical="center"/>
    </xf>
    <xf numFmtId="4" fontId="93" fillId="24" borderId="14" applyNumberFormat="0" applyProtection="0">
      <alignment vertical="center"/>
    </xf>
    <xf numFmtId="4" fontId="91" fillId="24" borderId="14" applyNumberFormat="0" applyProtection="0">
      <alignment horizontal="left" vertical="center" indent="1"/>
    </xf>
    <xf numFmtId="0" fontId="91" fillId="24" borderId="14" applyNumberFormat="0" applyProtection="0">
      <alignment horizontal="left" vertical="top" indent="1"/>
    </xf>
    <xf numFmtId="4" fontId="91" fillId="32" borderId="14" applyNumberFormat="0" applyProtection="0">
      <alignment horizontal="right" vertical="center"/>
    </xf>
    <xf numFmtId="4" fontId="93" fillId="32" borderId="14" applyNumberFormat="0" applyProtection="0">
      <alignment horizontal="right" vertical="center"/>
    </xf>
    <xf numFmtId="4" fontId="91" fillId="34" borderId="14" applyNumberFormat="0" applyProtection="0">
      <alignment horizontal="left" vertical="center" indent="1"/>
    </xf>
    <xf numFmtId="0" fontId="91" fillId="29" borderId="14" applyNumberFormat="0" applyProtection="0">
      <alignment horizontal="left" vertical="top" indent="1"/>
    </xf>
    <xf numFmtId="4" fontId="94" fillId="36" borderId="0" applyNumberFormat="0" applyProtection="0">
      <alignment horizontal="left" vertical="center" indent="1"/>
    </xf>
    <xf numFmtId="4" fontId="55" fillId="32" borderId="14" applyNumberFormat="0" applyProtection="0">
      <alignment horizontal="right" vertical="center"/>
    </xf>
    <xf numFmtId="0" fontId="14" fillId="3" borderId="0" applyNumberFormat="0" applyBorder="0" applyAlignment="0" applyProtection="0"/>
    <xf numFmtId="0" fontId="73" fillId="26" borderId="10"/>
    <xf numFmtId="0" fontId="45" fillId="0" borderId="0"/>
    <xf numFmtId="0" fontId="5" fillId="0" borderId="0"/>
    <xf numFmtId="0" fontId="53" fillId="0" borderId="0"/>
    <xf numFmtId="0" fontId="99" fillId="0" borderId="0"/>
    <xf numFmtId="0" fontId="99" fillId="0" borderId="0"/>
    <xf numFmtId="0" fontId="53" fillId="0" borderId="0"/>
    <xf numFmtId="0" fontId="99" fillId="0" borderId="0"/>
    <xf numFmtId="0" fontId="99" fillId="0" borderId="0"/>
    <xf numFmtId="0" fontId="106" fillId="0" borderId="0"/>
    <xf numFmtId="0" fontId="106" fillId="0" borderId="0"/>
    <xf numFmtId="0" fontId="106" fillId="0" borderId="0"/>
    <xf numFmtId="0" fontId="99" fillId="0" borderId="0"/>
    <xf numFmtId="0" fontId="99" fillId="0" borderId="0"/>
    <xf numFmtId="0" fontId="99" fillId="0" borderId="0"/>
    <xf numFmtId="0" fontId="5" fillId="0" borderId="0"/>
    <xf numFmtId="0" fontId="5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7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12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12" fillId="0" borderId="0"/>
    <xf numFmtId="0" fontId="12" fillId="0" borderId="0"/>
    <xf numFmtId="0" fontId="6" fillId="0" borderId="0"/>
    <xf numFmtId="0" fontId="99" fillId="0" borderId="0"/>
    <xf numFmtId="0" fontId="6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5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95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8" fillId="0" borderId="5" applyNumberFormat="0" applyFill="0" applyAlignment="0" applyProtection="0"/>
    <xf numFmtId="0" fontId="68" fillId="0" borderId="5" applyNumberFormat="0" applyFill="0" applyAlignment="0" applyProtection="0"/>
    <xf numFmtId="0" fontId="27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8" fillId="0" borderId="5" applyNumberFormat="0" applyFill="0" applyAlignment="0" applyProtection="0"/>
    <xf numFmtId="0" fontId="68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7" fillId="0" borderId="5" applyNumberFormat="0" applyFill="0" applyAlignment="0" applyProtection="0"/>
    <xf numFmtId="0" fontId="85" fillId="0" borderId="0">
      <protection locked="0"/>
    </xf>
    <xf numFmtId="0" fontId="27" fillId="0" borderId="5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6" fillId="28" borderId="0" applyNumberFormat="0" applyBorder="0" applyAlignment="0" applyProtection="0"/>
    <xf numFmtId="37" fontId="6" fillId="0" borderId="0"/>
    <xf numFmtId="37" fontId="6" fillId="28" borderId="0" applyNumberFormat="0" applyBorder="0" applyAlignment="0" applyProtection="0"/>
    <xf numFmtId="3" fontId="96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5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23" fillId="0" borderId="12" applyNumberFormat="0" applyFill="0" applyAlignment="0" applyProtection="0"/>
    <xf numFmtId="168" fontId="5" fillId="0" borderId="0" applyFont="0" applyFill="0" applyBorder="0" applyAlignment="0" applyProtection="0"/>
    <xf numFmtId="174" fontId="7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3" fontId="97" fillId="0" borderId="0">
      <alignment horizontal="right" vertical="center"/>
    </xf>
    <xf numFmtId="0" fontId="16" fillId="22" borderId="4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0" fontId="14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4" fontId="73" fillId="0" borderId="0"/>
    <xf numFmtId="0" fontId="50" fillId="0" borderId="0" applyNumberFormat="0" applyFill="0" applyBorder="0" applyAlignment="0" applyProtection="0">
      <alignment vertical="center"/>
    </xf>
    <xf numFmtId="0" fontId="43" fillId="0" borderId="0"/>
    <xf numFmtId="0" fontId="10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43" fillId="0" borderId="0"/>
    <xf numFmtId="0" fontId="43" fillId="0" borderId="0"/>
    <xf numFmtId="0" fontId="54" fillId="0" borderId="0"/>
    <xf numFmtId="0" fontId="54" fillId="0" borderId="0"/>
    <xf numFmtId="0" fontId="54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109" fillId="0" borderId="0"/>
    <xf numFmtId="0" fontId="110" fillId="0" borderId="0"/>
    <xf numFmtId="0" fontId="43" fillId="0" borderId="0"/>
    <xf numFmtId="0" fontId="5" fillId="0" borderId="0"/>
    <xf numFmtId="0" fontId="11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42">
    <xf numFmtId="0" fontId="0" fillId="0" borderId="0" xfId="0"/>
    <xf numFmtId="0" fontId="43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10" fillId="0" borderId="0" xfId="0" applyFont="1"/>
    <xf numFmtId="0" fontId="5" fillId="0" borderId="0" xfId="800"/>
    <xf numFmtId="0" fontId="7" fillId="0" borderId="0" xfId="800" applyFont="1" applyAlignment="1">
      <alignment horizontal="left"/>
    </xf>
    <xf numFmtId="0" fontId="7" fillId="0" borderId="0" xfId="0" quotePrefix="1" applyFont="1" applyAlignment="1">
      <alignment horizontal="left"/>
    </xf>
    <xf numFmtId="0" fontId="6" fillId="0" borderId="0" xfId="0" applyFont="1"/>
    <xf numFmtId="184" fontId="4" fillId="40" borderId="0" xfId="0" applyNumberFormat="1" applyFont="1" applyFill="1"/>
    <xf numFmtId="184" fontId="5" fillId="0" borderId="0" xfId="0" applyNumberFormat="1" applyFont="1"/>
    <xf numFmtId="184" fontId="7" fillId="0" borderId="0" xfId="0" applyNumberFormat="1" applyFont="1"/>
    <xf numFmtId="184" fontId="0" fillId="0" borderId="0" xfId="0" applyNumberFormat="1"/>
    <xf numFmtId="184" fontId="0" fillId="43" borderId="0" xfId="0" applyNumberFormat="1" applyFill="1"/>
    <xf numFmtId="0" fontId="43" fillId="0" borderId="0" xfId="0" applyFont="1" applyAlignment="1" applyProtection="1">
      <alignment vertical="top"/>
      <protection locked="0"/>
    </xf>
    <xf numFmtId="184" fontId="3" fillId="28" borderId="18" xfId="0" applyNumberFormat="1" applyFont="1" applyFill="1" applyBorder="1" applyAlignment="1">
      <alignment horizontal="center" vertical="center"/>
    </xf>
    <xf numFmtId="184" fontId="4" fillId="40" borderId="0" xfId="0" quotePrefix="1" applyNumberFormat="1" applyFont="1" applyFill="1"/>
    <xf numFmtId="0" fontId="4" fillId="40" borderId="0" xfId="0" quotePrefix="1" applyFont="1" applyFill="1"/>
    <xf numFmtId="0" fontId="8" fillId="40" borderId="0" xfId="0" applyFont="1" applyFill="1"/>
    <xf numFmtId="0" fontId="4" fillId="40" borderId="0" xfId="0" applyFont="1" applyFill="1"/>
    <xf numFmtId="184" fontId="5" fillId="39" borderId="18" xfId="791" applyNumberFormat="1" applyFill="1" applyBorder="1" applyAlignment="1">
      <alignment horizontal="center" vertical="center" wrapText="1"/>
    </xf>
    <xf numFmtId="0" fontId="3" fillId="28" borderId="18" xfId="0" applyFont="1" applyFill="1" applyBorder="1" applyAlignment="1">
      <alignment horizontal="center" vertical="center"/>
    </xf>
    <xf numFmtId="0" fontId="107" fillId="0" borderId="0" xfId="1244"/>
    <xf numFmtId="0" fontId="108" fillId="0" borderId="0" xfId="0" applyFont="1"/>
    <xf numFmtId="184" fontId="0" fillId="44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0" fillId="45" borderId="0" xfId="0" applyFill="1" applyAlignment="1">
      <alignment horizontal="center"/>
    </xf>
    <xf numFmtId="0" fontId="43" fillId="44" borderId="0" xfId="0" applyFont="1" applyFill="1"/>
    <xf numFmtId="0" fontId="43" fillId="46" borderId="0" xfId="0" applyFont="1" applyFill="1"/>
    <xf numFmtId="0" fontId="43" fillId="44" borderId="0" xfId="0" applyFont="1" applyFill="1" applyAlignment="1">
      <alignment horizontal="left"/>
    </xf>
    <xf numFmtId="0" fontId="43" fillId="46" borderId="0" xfId="0" applyFont="1" applyFill="1" applyAlignment="1">
      <alignment horizontal="left"/>
    </xf>
    <xf numFmtId="0" fontId="43" fillId="44" borderId="0" xfId="0" applyFont="1" applyFill="1" applyAlignment="1">
      <alignment horizontal="center"/>
    </xf>
    <xf numFmtId="184" fontId="5" fillId="39" borderId="19" xfId="791" applyNumberFormat="1" applyFill="1" applyBorder="1" applyAlignment="1">
      <alignment horizontal="center" vertical="center" wrapText="1"/>
    </xf>
    <xf numFmtId="0" fontId="5" fillId="39" borderId="19" xfId="791" applyFill="1" applyBorder="1" applyAlignment="1">
      <alignment horizontal="center" vertical="center" wrapText="1"/>
    </xf>
    <xf numFmtId="185" fontId="43" fillId="44" borderId="0" xfId="0" applyNumberFormat="1" applyFont="1" applyFill="1" applyAlignment="1">
      <alignment horizontal="center"/>
    </xf>
    <xf numFmtId="185" fontId="43" fillId="46" borderId="0" xfId="0" applyNumberFormat="1" applyFont="1" applyFill="1" applyAlignment="1">
      <alignment horizontal="center"/>
    </xf>
    <xf numFmtId="9" fontId="43" fillId="0" borderId="0" xfId="0" applyNumberFormat="1" applyFont="1"/>
    <xf numFmtId="185" fontId="0" fillId="45" borderId="0" xfId="0" applyNumberFormat="1" applyFill="1" applyAlignment="1">
      <alignment horizontal="center"/>
    </xf>
    <xf numFmtId="185" fontId="0" fillId="47" borderId="0" xfId="0" applyNumberFormat="1" applyFill="1" applyAlignment="1">
      <alignment horizontal="center"/>
    </xf>
    <xf numFmtId="0" fontId="43" fillId="0" borderId="0" xfId="0" applyFont="1" applyAlignment="1">
      <alignment horizontal="center"/>
    </xf>
    <xf numFmtId="185" fontId="0" fillId="0" borderId="0" xfId="0" applyNumberFormat="1" applyAlignment="1">
      <alignment horizontal="center"/>
    </xf>
    <xf numFmtId="184" fontId="5" fillId="39" borderId="19" xfId="791" applyNumberFormat="1" applyFill="1" applyBorder="1" applyAlignment="1">
      <alignment horizontal="center" vertical="center" wrapText="1"/>
    </xf>
  </cellXfs>
  <cellStyles count="1263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[0] 2 3" xfId="1245" xr:uid="{F0068CCC-E9D0-4F09-BE01-035EAB32FD5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iperłącze 3" xfId="1261" xr:uid="{14B20223-B92A-4CC4-AAA1-1898DEBCF58E}"/>
    <cellStyle name="Hyperlink" xfId="1244" xr:uid="{00000000-000B-0000-0000-00000800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3 2" xfId="1246" xr:uid="{5C49D7A2-0DF1-4850-B894-B1C4B41547F1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" xfId="0" builtinId="0"/>
    <cellStyle name="Normal - Style1" xfId="790" xr:uid="{00000000-0005-0000-0000-000015030000}"/>
    <cellStyle name="Normal - Style1 2" xfId="1247" xr:uid="{304C81AE-6CFC-4CDB-92B8-8D0CB4F6FB63}"/>
    <cellStyle name="Normal 10" xfId="791" xr:uid="{00000000-0005-0000-0000-000016030000}"/>
    <cellStyle name="Normal 10 15 2" xfId="1260" xr:uid="{3C4687C8-A385-4E38-BAD2-324540CB61F6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39 2 2" xfId="1259" xr:uid="{940DEB15-709C-4C4B-9840-BCFB844DD24E}"/>
    <cellStyle name="Normal 4" xfId="800" xr:uid="{00000000-0005-0000-0000-00001F030000}"/>
    <cellStyle name="Normal 4 2" xfId="801" xr:uid="{00000000-0005-0000-0000-000020030000}"/>
    <cellStyle name="Normal 5" xfId="1243" xr:uid="{00000000-0005-0000-0000-000021030000}"/>
    <cellStyle name="Normal 5 2" xfId="802" xr:uid="{00000000-0005-0000-0000-000022030000}"/>
    <cellStyle name="Normal 5 3" xfId="1258" xr:uid="{F83E6223-4AC9-44BE-B3F6-AC0219EE4518}"/>
    <cellStyle name="Normal 6 2" xfId="803" xr:uid="{00000000-0005-0000-0000-000023030000}"/>
    <cellStyle name="Normal 7 2" xfId="804" xr:uid="{00000000-0005-0000-0000-000024030000}"/>
    <cellStyle name="Normal GHG Textfiels Bold" xfId="805" xr:uid="{00000000-0005-0000-0000-000025030000}"/>
    <cellStyle name="Normal GHG-Shade" xfId="806" xr:uid="{00000000-0005-0000-0000-000026030000}"/>
    <cellStyle name="Normal GHG-Shade 2" xfId="807" xr:uid="{00000000-0005-0000-0000-000027030000}"/>
    <cellStyle name="Normale_B2020" xfId="808" xr:uid="{00000000-0005-0000-0000-000028030000}"/>
    <cellStyle name="Normalny 10" xfId="809" xr:uid="{00000000-0005-0000-0000-00002A030000}"/>
    <cellStyle name="Normalny 10 2" xfId="810" xr:uid="{00000000-0005-0000-0000-00002B030000}"/>
    <cellStyle name="Normalny 10 2 2" xfId="811" xr:uid="{00000000-0005-0000-0000-00002C030000}"/>
    <cellStyle name="Normalny 10 2 3" xfId="812" xr:uid="{00000000-0005-0000-0000-00002D030000}"/>
    <cellStyle name="Normalny 10 2 4" xfId="813" xr:uid="{00000000-0005-0000-0000-00002E030000}"/>
    <cellStyle name="Normalny 10 3" xfId="814" xr:uid="{00000000-0005-0000-0000-00002F030000}"/>
    <cellStyle name="Normalny 10 3 2" xfId="815" xr:uid="{00000000-0005-0000-0000-000030030000}"/>
    <cellStyle name="Normalny 10 3 3" xfId="816" xr:uid="{00000000-0005-0000-0000-000031030000}"/>
    <cellStyle name="Normalny 10 4" xfId="817" xr:uid="{00000000-0005-0000-0000-000032030000}"/>
    <cellStyle name="Normalny 11" xfId="818" xr:uid="{00000000-0005-0000-0000-000033030000}"/>
    <cellStyle name="Normalny 11 2" xfId="819" xr:uid="{00000000-0005-0000-0000-000034030000}"/>
    <cellStyle name="Normalny 11 2 2" xfId="820" xr:uid="{00000000-0005-0000-0000-000035030000}"/>
    <cellStyle name="Normalny 11 2 3" xfId="821" xr:uid="{00000000-0005-0000-0000-000036030000}"/>
    <cellStyle name="Normalny 11 3" xfId="822" xr:uid="{00000000-0005-0000-0000-000037030000}"/>
    <cellStyle name="Normalny 11 3 2" xfId="823" xr:uid="{00000000-0005-0000-0000-000038030000}"/>
    <cellStyle name="Normalny 11 3 2 2" xfId="824" xr:uid="{00000000-0005-0000-0000-000039030000}"/>
    <cellStyle name="Normalny 11 3 2 3" xfId="825" xr:uid="{00000000-0005-0000-0000-00003A030000}"/>
    <cellStyle name="Normalny 11 3 3" xfId="826" xr:uid="{00000000-0005-0000-0000-00003B030000}"/>
    <cellStyle name="Normalny 11 4" xfId="827" xr:uid="{00000000-0005-0000-0000-00003C030000}"/>
    <cellStyle name="Normalny 11 4 2" xfId="828" xr:uid="{00000000-0005-0000-0000-00003D030000}"/>
    <cellStyle name="Normalny 11 4 3" xfId="829" xr:uid="{00000000-0005-0000-0000-00003E030000}"/>
    <cellStyle name="Normalny 11 5" xfId="830" xr:uid="{00000000-0005-0000-0000-00003F030000}"/>
    <cellStyle name="Normalny 11 5 2" xfId="831" xr:uid="{00000000-0005-0000-0000-000040030000}"/>
    <cellStyle name="Normalny 11 5 3" xfId="832" xr:uid="{00000000-0005-0000-0000-000041030000}"/>
    <cellStyle name="Normalny 11 6" xfId="833" xr:uid="{00000000-0005-0000-0000-000042030000}"/>
    <cellStyle name="Normalny 11 6 2" xfId="1248" xr:uid="{D675BB15-57AF-440D-8EA4-9F816C591DC2}"/>
    <cellStyle name="Normalny 11 7" xfId="834" xr:uid="{00000000-0005-0000-0000-000043030000}"/>
    <cellStyle name="Normalny 11 7 2" xfId="1249" xr:uid="{8BC1E3FF-0C9B-43E9-9500-4D6018E1ABB5}"/>
    <cellStyle name="Normalny 12" xfId="835" xr:uid="{00000000-0005-0000-0000-000044030000}"/>
    <cellStyle name="Normalny 13" xfId="836" xr:uid="{00000000-0005-0000-0000-000045030000}"/>
    <cellStyle name="Normalny 13 10" xfId="837" xr:uid="{00000000-0005-0000-0000-000046030000}"/>
    <cellStyle name="Normalny 13 10 2" xfId="1250" xr:uid="{99919710-A3E8-4575-B926-5597FB461CF4}"/>
    <cellStyle name="Normalny 13 2" xfId="838" xr:uid="{00000000-0005-0000-0000-000047030000}"/>
    <cellStyle name="Normalny 13 2 2" xfId="839" xr:uid="{00000000-0005-0000-0000-000048030000}"/>
    <cellStyle name="Normalny 13 2 2 2" xfId="840" xr:uid="{00000000-0005-0000-0000-000049030000}"/>
    <cellStyle name="Normalny 13 2 2 2 2" xfId="841" xr:uid="{00000000-0005-0000-0000-00004A030000}"/>
    <cellStyle name="Normalny 13 2 2 2 2 2" xfId="842" xr:uid="{00000000-0005-0000-0000-00004B030000}"/>
    <cellStyle name="Normalny 13 2 2 2 3" xfId="843" xr:uid="{00000000-0005-0000-0000-00004C030000}"/>
    <cellStyle name="Normalny 13 2 2 2 3 2" xfId="844" xr:uid="{00000000-0005-0000-0000-00004D030000}"/>
    <cellStyle name="Normalny 13 2 2 2 4" xfId="845" xr:uid="{00000000-0005-0000-0000-00004E030000}"/>
    <cellStyle name="Normalny 13 2 2 2 5" xfId="846" xr:uid="{00000000-0005-0000-0000-00004F030000}"/>
    <cellStyle name="Normalny 13 2 2 3" xfId="847" xr:uid="{00000000-0005-0000-0000-000050030000}"/>
    <cellStyle name="Normalny 13 2 2 3 2" xfId="848" xr:uid="{00000000-0005-0000-0000-000051030000}"/>
    <cellStyle name="Normalny 13 2 2 4" xfId="849" xr:uid="{00000000-0005-0000-0000-000052030000}"/>
    <cellStyle name="Normalny 13 2 2 4 2" xfId="850" xr:uid="{00000000-0005-0000-0000-000053030000}"/>
    <cellStyle name="Normalny 13 2 2 5" xfId="851" xr:uid="{00000000-0005-0000-0000-000054030000}"/>
    <cellStyle name="Normalny 13 2 2 6" xfId="852" xr:uid="{00000000-0005-0000-0000-000055030000}"/>
    <cellStyle name="Normalny 13 2 3" xfId="853" xr:uid="{00000000-0005-0000-0000-000056030000}"/>
    <cellStyle name="Normalny 13 2 3 2" xfId="854" xr:uid="{00000000-0005-0000-0000-000057030000}"/>
    <cellStyle name="Normalny 13 2 3 2 2" xfId="855" xr:uid="{00000000-0005-0000-0000-000058030000}"/>
    <cellStyle name="Normalny 13 2 3 3" xfId="856" xr:uid="{00000000-0005-0000-0000-000059030000}"/>
    <cellStyle name="Normalny 13 2 3 3 2" xfId="857" xr:uid="{00000000-0005-0000-0000-00005A030000}"/>
    <cellStyle name="Normalny 13 2 3 4" xfId="858" xr:uid="{00000000-0005-0000-0000-00005B030000}"/>
    <cellStyle name="Normalny 13 2 3 5" xfId="859" xr:uid="{00000000-0005-0000-0000-00005C030000}"/>
    <cellStyle name="Normalny 13 2 4" xfId="860" xr:uid="{00000000-0005-0000-0000-00005D030000}"/>
    <cellStyle name="Normalny 13 2 4 2" xfId="861" xr:uid="{00000000-0005-0000-0000-00005E030000}"/>
    <cellStyle name="Normalny 13 2 5" xfId="862" xr:uid="{00000000-0005-0000-0000-00005F030000}"/>
    <cellStyle name="Normalny 13 2 5 2" xfId="863" xr:uid="{00000000-0005-0000-0000-000060030000}"/>
    <cellStyle name="Normalny 13 2 6" xfId="864" xr:uid="{00000000-0005-0000-0000-000061030000}"/>
    <cellStyle name="Normalny 13 2 7" xfId="865" xr:uid="{00000000-0005-0000-0000-000062030000}"/>
    <cellStyle name="Normalny 13 3" xfId="866" xr:uid="{00000000-0005-0000-0000-000063030000}"/>
    <cellStyle name="Normalny 13 3 2" xfId="867" xr:uid="{00000000-0005-0000-0000-000064030000}"/>
    <cellStyle name="Normalny 13 3 2 2" xfId="868" xr:uid="{00000000-0005-0000-0000-000065030000}"/>
    <cellStyle name="Normalny 13 3 2 2 2" xfId="869" xr:uid="{00000000-0005-0000-0000-000066030000}"/>
    <cellStyle name="Normalny 13 3 2 2 3" xfId="870" xr:uid="{00000000-0005-0000-0000-000067030000}"/>
    <cellStyle name="Normalny 13 3 2 3" xfId="871" xr:uid="{00000000-0005-0000-0000-000068030000}"/>
    <cellStyle name="Normalny 13 3 2 4" xfId="872" xr:uid="{00000000-0005-0000-0000-000069030000}"/>
    <cellStyle name="Normalny 13 3 3" xfId="873" xr:uid="{00000000-0005-0000-0000-00006A030000}"/>
    <cellStyle name="Normalny 13 3 4" xfId="874" xr:uid="{00000000-0005-0000-0000-00006B030000}"/>
    <cellStyle name="Normalny 13 3 5" xfId="875" xr:uid="{00000000-0005-0000-0000-00006C030000}"/>
    <cellStyle name="Normalny 13 3 5 2" xfId="1251" xr:uid="{AD67F2F2-8B4B-421C-B5FF-39C3BC1E64FB}"/>
    <cellStyle name="Normalny 13 3 6" xfId="876" xr:uid="{00000000-0005-0000-0000-00006D030000}"/>
    <cellStyle name="Normalny 13 3 6 2" xfId="1252" xr:uid="{116D1A85-89EB-455B-9ACC-884516A64A7D}"/>
    <cellStyle name="Normalny 13 4" xfId="877" xr:uid="{00000000-0005-0000-0000-00006E030000}"/>
    <cellStyle name="Normalny 13 4 2" xfId="878" xr:uid="{00000000-0005-0000-0000-00006F030000}"/>
    <cellStyle name="Normalny 13 4 3" xfId="879" xr:uid="{00000000-0005-0000-0000-000070030000}"/>
    <cellStyle name="Normalny 13 5" xfId="880" xr:uid="{00000000-0005-0000-0000-000071030000}"/>
    <cellStyle name="Normalny 13 5 2" xfId="881" xr:uid="{00000000-0005-0000-0000-000072030000}"/>
    <cellStyle name="Normalny 13 5 3" xfId="882" xr:uid="{00000000-0005-0000-0000-000073030000}"/>
    <cellStyle name="Normalny 13 6" xfId="883" xr:uid="{00000000-0005-0000-0000-000074030000}"/>
    <cellStyle name="Normalny 13 6 2" xfId="884" xr:uid="{00000000-0005-0000-0000-000075030000}"/>
    <cellStyle name="Normalny 13 6 2 2" xfId="885" xr:uid="{00000000-0005-0000-0000-000076030000}"/>
    <cellStyle name="Normalny 13 6 3" xfId="886" xr:uid="{00000000-0005-0000-0000-000077030000}"/>
    <cellStyle name="Normalny 13 6 3 2" xfId="887" xr:uid="{00000000-0005-0000-0000-000078030000}"/>
    <cellStyle name="Normalny 13 6 4" xfId="888" xr:uid="{00000000-0005-0000-0000-000079030000}"/>
    <cellStyle name="Normalny 13 6 5" xfId="889" xr:uid="{00000000-0005-0000-0000-00007A030000}"/>
    <cellStyle name="Normalny 13 7" xfId="890" xr:uid="{00000000-0005-0000-0000-00007B030000}"/>
    <cellStyle name="Normalny 13 7 2" xfId="891" xr:uid="{00000000-0005-0000-0000-00007C030000}"/>
    <cellStyle name="Normalny 13 8" xfId="892" xr:uid="{00000000-0005-0000-0000-00007D030000}"/>
    <cellStyle name="Normalny 13 8 2" xfId="893" xr:uid="{00000000-0005-0000-0000-00007E030000}"/>
    <cellStyle name="Normalny 13 9" xfId="894" xr:uid="{00000000-0005-0000-0000-00007F030000}"/>
    <cellStyle name="Normalny 14" xfId="895" xr:uid="{00000000-0005-0000-0000-000080030000}"/>
    <cellStyle name="Normalny 14 2" xfId="896" xr:uid="{00000000-0005-0000-0000-000081030000}"/>
    <cellStyle name="Normalny 14 2 2" xfId="897" xr:uid="{00000000-0005-0000-0000-000082030000}"/>
    <cellStyle name="Normalny 14 2 2 2" xfId="898" xr:uid="{00000000-0005-0000-0000-000083030000}"/>
    <cellStyle name="Normalny 14 2 2 3" xfId="899" xr:uid="{00000000-0005-0000-0000-000084030000}"/>
    <cellStyle name="Normalny 14 2 3" xfId="900" xr:uid="{00000000-0005-0000-0000-000085030000}"/>
    <cellStyle name="Normalny 14 2 4" xfId="901" xr:uid="{00000000-0005-0000-0000-000086030000}"/>
    <cellStyle name="Normalny 14 3" xfId="902" xr:uid="{00000000-0005-0000-0000-000087030000}"/>
    <cellStyle name="Normalny 14 4" xfId="903" xr:uid="{00000000-0005-0000-0000-000088030000}"/>
    <cellStyle name="Normalny 14 5" xfId="904" xr:uid="{00000000-0005-0000-0000-000089030000}"/>
    <cellStyle name="Normalny 14 5 2" xfId="1253" xr:uid="{13C2152B-AD0A-422A-996A-29BA3B34F55E}"/>
    <cellStyle name="Normalny 15" xfId="905" xr:uid="{00000000-0005-0000-0000-00008A030000}"/>
    <cellStyle name="Normalny 15 2" xfId="906" xr:uid="{00000000-0005-0000-0000-00008B030000}"/>
    <cellStyle name="Normalny 16" xfId="907" xr:uid="{00000000-0005-0000-0000-00008C030000}"/>
    <cellStyle name="Normalny 16 2" xfId="908" xr:uid="{00000000-0005-0000-0000-00008D030000}"/>
    <cellStyle name="Normalny 16 3" xfId="909" xr:uid="{00000000-0005-0000-0000-00008E030000}"/>
    <cellStyle name="Normalny 17" xfId="910" xr:uid="{00000000-0005-0000-0000-00008F030000}"/>
    <cellStyle name="Normalny 18" xfId="911" xr:uid="{00000000-0005-0000-0000-000090030000}"/>
    <cellStyle name="Normalny 18 2" xfId="1254" xr:uid="{883F95FD-BFE6-48CC-99B4-D6F6FBEC8C45}"/>
    <cellStyle name="Normalny 19" xfId="912" xr:uid="{00000000-0005-0000-0000-000091030000}"/>
    <cellStyle name="Normalny 2" xfId="913" xr:uid="{00000000-0005-0000-0000-000092030000}"/>
    <cellStyle name="Normalny 2 2" xfId="914" xr:uid="{00000000-0005-0000-0000-000093030000}"/>
    <cellStyle name="Normalny 2 3" xfId="915" xr:uid="{00000000-0005-0000-0000-000094030000}"/>
    <cellStyle name="Normalny 20" xfId="916" xr:uid="{00000000-0005-0000-0000-000095030000}"/>
    <cellStyle name="Normalny 21" xfId="1257" xr:uid="{36BE54FA-EA1B-4222-A752-4980B8CEB427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3" xfId="948" xr:uid="{00000000-0005-0000-0000-0000B7030000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3" xfId="952" xr:uid="{00000000-0005-0000-0000-0000BB030000}"/>
    <cellStyle name="Procentowy 2 3 3" xfId="953" xr:uid="{00000000-0005-0000-0000-0000BC030000}"/>
    <cellStyle name="Procentowy 2 4" xfId="954" xr:uid="{00000000-0005-0000-0000-0000BD030000}"/>
    <cellStyle name="Procentowy 2 4 2" xfId="955" xr:uid="{00000000-0005-0000-0000-0000BE030000}"/>
    <cellStyle name="Procentowy 2 4 3" xfId="956" xr:uid="{00000000-0005-0000-0000-0000BF030000}"/>
    <cellStyle name="Procentowy 2 5" xfId="957" xr:uid="{00000000-0005-0000-0000-0000C0030000}"/>
    <cellStyle name="Procentowy 2 6" xfId="958" xr:uid="{00000000-0005-0000-0000-0000C1030000}"/>
    <cellStyle name="Procentowy 2 6 2" xfId="1255" xr:uid="{A39FF5A7-1E4F-4674-904E-F107DC1F72EC}"/>
    <cellStyle name="Procentowy 2 7" xfId="959" xr:uid="{00000000-0005-0000-0000-0000C2030000}"/>
    <cellStyle name="Procentowy 2 7 2" xfId="1256" xr:uid="{6429F91B-09FC-450B-9B01-1634D9076224}"/>
    <cellStyle name="Procentowy 3" xfId="960" xr:uid="{00000000-0005-0000-0000-0000C3030000}"/>
    <cellStyle name="Procentowy 4" xfId="961" xr:uid="{00000000-0005-0000-0000-0000C4030000}"/>
    <cellStyle name="Procentowy 5" xfId="1262" xr:uid="{8DAD81CA-76FC-4600-89D1-34FF7B7FCF02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rnender Text 2" xfId="1219" xr:uid="{00000000-0005-0000-0000-0000C7040000}"/>
    <cellStyle name="Warning Text 2" xfId="1220" xr:uid="{00000000-0005-0000-0000-0000C8040000}"/>
    <cellStyle name="Warning Text 3" xfId="1221" xr:uid="{00000000-0005-0000-0000-0000C9040000}"/>
    <cellStyle name="X10_Figs 21 dec" xfId="1222" xr:uid="{00000000-0005-0000-0000-0000CA040000}"/>
    <cellStyle name="Zelle überprüfen 2" xfId="1223" xr:uid="{00000000-0005-0000-0000-0000CB040000}"/>
    <cellStyle name="Złe" xfId="1224" xr:uid="{00000000-0005-0000-0000-0000CC040000}"/>
    <cellStyle name="Złe 10" xfId="1225" xr:uid="{00000000-0005-0000-0000-0000CD040000}"/>
    <cellStyle name="Złe 10 2" xfId="1226" xr:uid="{00000000-0005-0000-0000-0000CE040000}"/>
    <cellStyle name="Złe 10 3" xfId="1227" xr:uid="{00000000-0005-0000-0000-0000CF040000}"/>
    <cellStyle name="Złe 11" xfId="1228" xr:uid="{00000000-0005-0000-0000-0000D0040000}"/>
    <cellStyle name="Złe 12" xfId="1229" xr:uid="{00000000-0005-0000-0000-0000D1040000}"/>
    <cellStyle name="Złe 2" xfId="1230" xr:uid="{00000000-0005-0000-0000-0000D2040000}"/>
    <cellStyle name="Złe 3" xfId="1231" xr:uid="{00000000-0005-0000-0000-0000D3040000}"/>
    <cellStyle name="Złe 4" xfId="1232" xr:uid="{00000000-0005-0000-0000-0000D4040000}"/>
    <cellStyle name="Złe 5" xfId="1233" xr:uid="{00000000-0005-0000-0000-0000D5040000}"/>
    <cellStyle name="Złe 6" xfId="1234" xr:uid="{00000000-0005-0000-0000-0000D6040000}"/>
    <cellStyle name="Złe 7" xfId="1235" xr:uid="{00000000-0005-0000-0000-0000D7040000}"/>
    <cellStyle name="Złe 8" xfId="1236" xr:uid="{00000000-0005-0000-0000-0000D8040000}"/>
    <cellStyle name="Złe 9" xfId="1237" xr:uid="{00000000-0005-0000-0000-0000D9040000}"/>
    <cellStyle name="Złe 9 2" xfId="1238" xr:uid="{00000000-0005-0000-0000-0000DA040000}"/>
    <cellStyle name="Złe 9 3" xfId="1239" xr:uid="{00000000-0005-0000-0000-0000DB040000}"/>
    <cellStyle name="Złe_D_HEAT" xfId="1240" xr:uid="{00000000-0005-0000-0000-0000DC040000}"/>
    <cellStyle name="Обычный_2++_CRFReport-template" xfId="1241" xr:uid="{00000000-0005-0000-0000-0000DD040000}"/>
    <cellStyle name="已访问的超链接" xfId="1242" xr:uid="{00000000-0005-0000-0000-0000D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DEMAND!$C$12:$I$12</c:f>
              <c:numCache>
                <c:formatCode>General</c:formatCode>
                <c:ptCount val="7"/>
                <c:pt idx="0">
                  <c:v>2023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xVal>
          <c:yVal>
            <c:numRef>
              <c:f>DEMAND!$C$13:$I$13</c:f>
              <c:numCache>
                <c:formatCode>0.0</c:formatCode>
                <c:ptCount val="7"/>
                <c:pt idx="0">
                  <c:v>109.39</c:v>
                </c:pt>
                <c:pt idx="1">
                  <c:v>122.81073059360824</c:v>
                </c:pt>
                <c:pt idx="2">
                  <c:v>157</c:v>
                </c:pt>
                <c:pt idx="3">
                  <c:v>193.89840182648368</c:v>
                </c:pt>
                <c:pt idx="4">
                  <c:v>230</c:v>
                </c:pt>
                <c:pt idx="5">
                  <c:v>264.98607305936093</c:v>
                </c:pt>
                <c:pt idx="6">
                  <c:v>300.52990867580047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3D-4D5F-AA43-F82B5531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598447"/>
        <c:axId val="1579601327"/>
      </c:scatterChart>
      <c:valAx>
        <c:axId val="15795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9601327"/>
        <c:crosses val="autoZero"/>
        <c:crossBetween val="midCat"/>
      </c:valAx>
      <c:valAx>
        <c:axId val="15796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959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19707</xdr:colOff>
      <xdr:row>16</xdr:row>
      <xdr:rowOff>157801</xdr:rowOff>
    </xdr:from>
    <xdr:to>
      <xdr:col>9</xdr:col>
      <xdr:colOff>530155</xdr:colOff>
      <xdr:row>34</xdr:row>
      <xdr:rowOff>92452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76D17-E262-7A41-3A7B-1B7FCCFA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07" y="3488267"/>
          <a:ext cx="6540758" cy="3764358"/>
        </a:xfrm>
        <a:prstGeom prst="rect">
          <a:avLst/>
        </a:prstGeom>
      </xdr:spPr>
    </xdr:pic>
    <xdr:clientData/>
  </xdr:twoCellAnchor>
  <xdr:twoCellAnchor>
    <xdr:from>
      <xdr:col>10</xdr:col>
      <xdr:colOff>262758</xdr:colOff>
      <xdr:row>12</xdr:row>
      <xdr:rowOff>11167</xdr:rowOff>
    </xdr:from>
    <xdr:to>
      <xdr:col>17</xdr:col>
      <xdr:colOff>518948</xdr:colOff>
      <xdr:row>22</xdr:row>
      <xdr:rowOff>113643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8EC66-A235-E2F7-A46F-106D87A9E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2024.entsos-tyndp-scenarios.eu/visualisation-platfo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J22"/>
  <sheetViews>
    <sheetView zoomScale="110" zoomScaleNormal="110" workbookViewId="0">
      <selection activeCell="H10" sqref="H10"/>
    </sheetView>
  </sheetViews>
  <sheetFormatPr defaultRowHeight="12.75"/>
  <cols>
    <col min="1" max="1" width="2.7109375" customWidth="1"/>
    <col min="2" max="2" width="15" customWidth="1"/>
    <col min="3" max="3" width="20.5703125" customWidth="1"/>
    <col min="4" max="4" width="36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2.7109375" customWidth="1"/>
    <col min="10" max="10" width="10.42578125" customWidth="1"/>
    <col min="11" max="12" width="10.7109375" bestFit="1" customWidth="1"/>
  </cols>
  <sheetData>
    <row r="2" spans="2:10" ht="18">
      <c r="B2" s="17" t="s">
        <v>0</v>
      </c>
      <c r="C2" s="18"/>
      <c r="D2" s="18"/>
      <c r="E2" s="10"/>
      <c r="F2" s="10"/>
      <c r="G2" s="10"/>
      <c r="H2" s="10"/>
      <c r="I2" s="10"/>
    </row>
    <row r="3" spans="2:10" ht="12.75" customHeight="1">
      <c r="B3" s="11"/>
      <c r="C3" s="10"/>
      <c r="D3" s="10"/>
      <c r="E3" s="10"/>
      <c r="F3" s="10"/>
      <c r="G3" s="10"/>
      <c r="H3" s="10"/>
      <c r="I3" s="10"/>
    </row>
    <row r="4" spans="2:10" ht="17.649999999999999" customHeight="1">
      <c r="B4" s="11" t="s">
        <v>1</v>
      </c>
      <c r="C4" s="10"/>
      <c r="D4" s="10"/>
      <c r="E4" s="10"/>
      <c r="F4" s="10"/>
      <c r="G4" s="10"/>
      <c r="H4" s="10"/>
      <c r="I4" s="10"/>
    </row>
    <row r="5" spans="2:10" ht="15.75" customHeight="1">
      <c r="B5" s="15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</row>
    <row r="6" spans="2:10" ht="47.25" customHeight="1">
      <c r="B6" s="32" t="s">
        <v>10</v>
      </c>
      <c r="C6" s="32" t="s">
        <v>11</v>
      </c>
      <c r="D6" s="32" t="s">
        <v>12</v>
      </c>
      <c r="E6" s="32" t="s">
        <v>5</v>
      </c>
      <c r="F6" s="32" t="s">
        <v>13</v>
      </c>
      <c r="G6" s="32" t="s">
        <v>14</v>
      </c>
      <c r="H6" s="32" t="s">
        <v>15</v>
      </c>
      <c r="I6" s="32" t="s">
        <v>16</v>
      </c>
    </row>
    <row r="7" spans="2:10" ht="16.5" customHeight="1">
      <c r="B7" s="27" t="s">
        <v>64</v>
      </c>
      <c r="C7" s="27" t="s">
        <v>62</v>
      </c>
      <c r="D7" s="29" t="s">
        <v>68</v>
      </c>
      <c r="E7" s="27" t="s">
        <v>17</v>
      </c>
      <c r="F7" s="27"/>
      <c r="G7" s="27" t="s">
        <v>18</v>
      </c>
      <c r="H7" s="27"/>
      <c r="I7" s="27"/>
      <c r="J7" s="24"/>
    </row>
    <row r="8" spans="2:10" ht="15.75" customHeight="1">
      <c r="B8" s="28" t="s">
        <v>64</v>
      </c>
      <c r="C8" s="28" t="s">
        <v>63</v>
      </c>
      <c r="D8" s="30" t="s">
        <v>69</v>
      </c>
      <c r="E8" s="28" t="s">
        <v>17</v>
      </c>
      <c r="F8" s="28"/>
      <c r="G8" s="28" t="s">
        <v>18</v>
      </c>
      <c r="H8" s="28"/>
      <c r="I8" s="28"/>
    </row>
    <row r="9" spans="2:10" ht="15.75" customHeight="1">
      <c r="B9" s="27" t="s">
        <v>65</v>
      </c>
      <c r="C9" s="27" t="s">
        <v>61</v>
      </c>
      <c r="D9" s="29" t="s">
        <v>19</v>
      </c>
      <c r="E9" s="27" t="s">
        <v>17</v>
      </c>
      <c r="F9" s="27"/>
      <c r="G9" s="27" t="s">
        <v>18</v>
      </c>
      <c r="H9" s="27"/>
      <c r="I9" s="27"/>
    </row>
    <row r="10" spans="2:10">
      <c r="B10" s="28" t="s">
        <v>65</v>
      </c>
      <c r="C10" s="28" t="s">
        <v>74</v>
      </c>
      <c r="D10" s="28" t="s">
        <v>75</v>
      </c>
      <c r="E10" s="28" t="s">
        <v>17</v>
      </c>
      <c r="F10" s="28" t="s">
        <v>73</v>
      </c>
      <c r="G10" s="28" t="s">
        <v>18</v>
      </c>
      <c r="H10" s="28"/>
      <c r="I10" s="28"/>
    </row>
    <row r="11" spans="2:10">
      <c r="B11" s="27"/>
      <c r="C11" s="27"/>
      <c r="D11" s="27"/>
      <c r="E11" s="27"/>
      <c r="F11" s="27"/>
      <c r="G11" s="27"/>
      <c r="H11" s="27"/>
    </row>
    <row r="13" spans="2:10">
      <c r="B13" s="1"/>
    </row>
    <row r="22" ht="13.9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8"/>
  <sheetViews>
    <sheetView zoomScale="145" zoomScaleNormal="145" workbookViewId="0">
      <selection activeCell="E9" sqref="E9"/>
    </sheetView>
  </sheetViews>
  <sheetFormatPr defaultRowHeight="12.75"/>
  <cols>
    <col min="1" max="1" width="2.7109375" customWidth="1"/>
    <col min="2" max="2" width="20.7109375" customWidth="1"/>
    <col min="3" max="3" width="19" customWidth="1"/>
    <col min="4" max="4" width="26.42578125" customWidth="1"/>
    <col min="5" max="5" width="45.7109375" customWidth="1"/>
    <col min="6" max="8" width="11" customWidth="1"/>
    <col min="9" max="9" width="14.28515625" customWidth="1"/>
    <col min="10" max="10" width="11" customWidth="1"/>
  </cols>
  <sheetData>
    <row r="2" spans="2:10" ht="15.75" customHeight="1">
      <c r="B2" s="17" t="s">
        <v>20</v>
      </c>
      <c r="C2" s="19"/>
      <c r="D2" s="19"/>
      <c r="E2" s="12"/>
      <c r="F2" s="12"/>
      <c r="G2" s="12"/>
      <c r="H2" s="12"/>
      <c r="I2" s="12"/>
      <c r="J2" s="12"/>
    </row>
    <row r="3" spans="2:10">
      <c r="B3" s="11"/>
      <c r="C3" s="11"/>
      <c r="D3" s="12"/>
      <c r="E3" s="12"/>
      <c r="F3" s="12"/>
      <c r="G3" s="12"/>
      <c r="H3" s="12"/>
      <c r="I3" s="12"/>
      <c r="J3" s="12"/>
    </row>
    <row r="4" spans="2:10" ht="15.75" customHeight="1">
      <c r="B4" s="11" t="s">
        <v>21</v>
      </c>
      <c r="C4" s="11"/>
      <c r="D4" s="12"/>
      <c r="E4" s="12"/>
      <c r="F4" s="12"/>
      <c r="G4" s="12"/>
      <c r="H4" s="12"/>
      <c r="I4" s="12"/>
      <c r="J4" s="12"/>
    </row>
    <row r="5" spans="2:10" ht="15.75" customHeight="1">
      <c r="B5" s="15" t="s">
        <v>22</v>
      </c>
      <c r="C5" s="15" t="s">
        <v>23</v>
      </c>
      <c r="D5" s="15" t="s">
        <v>24</v>
      </c>
      <c r="E5" s="15" t="s">
        <v>25</v>
      </c>
      <c r="F5" s="15" t="s">
        <v>26</v>
      </c>
      <c r="G5" s="15" t="s">
        <v>27</v>
      </c>
      <c r="H5" s="15" t="s">
        <v>28</v>
      </c>
      <c r="I5" s="15" t="s">
        <v>29</v>
      </c>
      <c r="J5" s="15" t="s">
        <v>30</v>
      </c>
    </row>
    <row r="6" spans="2:10" ht="38.25">
      <c r="B6" s="32" t="s">
        <v>31</v>
      </c>
      <c r="C6" s="32" t="s">
        <v>32</v>
      </c>
      <c r="D6" s="32" t="s">
        <v>33</v>
      </c>
      <c r="E6" s="32" t="s">
        <v>34</v>
      </c>
      <c r="F6" s="32" t="s">
        <v>35</v>
      </c>
      <c r="G6" s="32" t="s">
        <v>36</v>
      </c>
      <c r="H6" s="32" t="s">
        <v>14</v>
      </c>
      <c r="I6" s="33" t="s">
        <v>37</v>
      </c>
      <c r="J6" s="33" t="s">
        <v>38</v>
      </c>
    </row>
    <row r="7" spans="2:10" ht="15.75" customHeight="1">
      <c r="B7" s="31" t="s">
        <v>67</v>
      </c>
      <c r="C7" s="31" t="s">
        <v>59</v>
      </c>
      <c r="D7" s="31" t="s">
        <v>66</v>
      </c>
      <c r="E7" s="31" t="s">
        <v>39</v>
      </c>
      <c r="F7" s="31" t="s">
        <v>17</v>
      </c>
      <c r="G7" s="31" t="s">
        <v>40</v>
      </c>
      <c r="H7" s="31" t="s">
        <v>18</v>
      </c>
      <c r="I7" s="27"/>
      <c r="J7" s="13"/>
    </row>
    <row r="8" spans="2:10">
      <c r="B8" s="31" t="s">
        <v>67</v>
      </c>
      <c r="C8" s="31" t="s">
        <v>59</v>
      </c>
      <c r="D8" s="31" t="s">
        <v>76</v>
      </c>
      <c r="E8" s="31" t="s">
        <v>77</v>
      </c>
      <c r="F8" s="31" t="s">
        <v>17</v>
      </c>
      <c r="G8" s="31" t="s">
        <v>40</v>
      </c>
      <c r="H8" s="31" t="s">
        <v>18</v>
      </c>
      <c r="I8" s="2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7"/>
  <sheetViews>
    <sheetView zoomScale="133" zoomScaleNormal="130" workbookViewId="0">
      <selection activeCell="D10" sqref="D10"/>
    </sheetView>
  </sheetViews>
  <sheetFormatPr defaultRowHeight="12.75"/>
  <cols>
    <col min="1" max="1" width="2.7109375" customWidth="1"/>
    <col min="2" max="2" width="31.28515625" customWidth="1"/>
    <col min="3" max="3" width="47.7109375" bestFit="1" customWidth="1"/>
    <col min="4" max="4" width="17" customWidth="1"/>
    <col min="5" max="5" width="19.7109375" customWidth="1"/>
    <col min="6" max="6" width="17.28515625" customWidth="1"/>
    <col min="7" max="7" width="16.28515625" customWidth="1"/>
  </cols>
  <sheetData>
    <row r="2" spans="2:7" ht="18">
      <c r="B2" s="16" t="s">
        <v>41</v>
      </c>
      <c r="C2" s="9"/>
      <c r="E2" s="3"/>
    </row>
    <row r="3" spans="2:7">
      <c r="B3" s="4"/>
      <c r="C3" s="2"/>
      <c r="E3" s="3"/>
    </row>
    <row r="4" spans="2:7" ht="15.75" customHeight="1">
      <c r="E4" s="6" t="s">
        <v>42</v>
      </c>
      <c r="F4" s="5"/>
      <c r="G4" s="5"/>
    </row>
    <row r="5" spans="2:7" ht="15.75" customHeight="1">
      <c r="B5" s="15" t="s">
        <v>24</v>
      </c>
      <c r="C5" s="15" t="s">
        <v>43</v>
      </c>
      <c r="D5" s="15" t="s">
        <v>44</v>
      </c>
      <c r="E5" s="15" t="s">
        <v>45</v>
      </c>
      <c r="F5" s="15" t="s">
        <v>46</v>
      </c>
      <c r="G5" s="15" t="s">
        <v>47</v>
      </c>
    </row>
    <row r="6" spans="2:7" ht="31.9" customHeight="1">
      <c r="B6" s="20" t="s">
        <v>48</v>
      </c>
      <c r="C6" s="20" t="s">
        <v>34</v>
      </c>
      <c r="D6" s="20" t="s">
        <v>49</v>
      </c>
      <c r="E6" s="20" t="s">
        <v>50</v>
      </c>
      <c r="F6" s="20" t="s">
        <v>51</v>
      </c>
      <c r="G6" s="20" t="s">
        <v>52</v>
      </c>
    </row>
    <row r="7" spans="2:7" ht="15.75" customHeight="1">
      <c r="B7" s="27" t="str">
        <f>SEC_Processes!D7</f>
        <v>ELC_FIN_DEM</v>
      </c>
      <c r="C7" s="27" t="str">
        <f>SEC_Processes!E7</f>
        <v>Electricity - Final Energy Demand</v>
      </c>
      <c r="D7" s="30" t="str">
        <f>SEC_Comm!C7</f>
        <v>ELC_GRID_RES</v>
      </c>
      <c r="E7" s="28"/>
      <c r="F7" s="34">
        <v>1</v>
      </c>
      <c r="G7" s="34">
        <v>1</v>
      </c>
    </row>
    <row r="8" spans="2:7">
      <c r="B8" s="28"/>
      <c r="C8" s="28"/>
      <c r="D8" s="29" t="str">
        <f>SEC_Comm!C8</f>
        <v>ELC_GRID</v>
      </c>
      <c r="E8" s="27"/>
      <c r="F8" s="35"/>
      <c r="G8" s="35"/>
    </row>
    <row r="9" spans="2:7">
      <c r="B9" s="27"/>
      <c r="C9" s="27"/>
      <c r="E9" s="28" t="str">
        <f>SEC_Comm!C9</f>
        <v>ELC_FIN</v>
      </c>
      <c r="F9" s="34"/>
      <c r="G9" s="34"/>
    </row>
    <row r="10" spans="2:7">
      <c r="B10" t="str">
        <f>SEC_Processes!D8</f>
        <v>ELC_IND_FIN_DEM</v>
      </c>
      <c r="D10" t="s">
        <v>78</v>
      </c>
      <c r="F10" s="34">
        <v>1</v>
      </c>
      <c r="G10" s="34">
        <v>1</v>
      </c>
    </row>
    <row r="11" spans="2:7">
      <c r="D11" t="str">
        <f>SEC_Comm!C8</f>
        <v>ELC_GRID</v>
      </c>
    </row>
    <row r="12" spans="2:7">
      <c r="E12" t="str">
        <f>SEC_Comm!C10</f>
        <v>ELC_IND_FIN</v>
      </c>
    </row>
    <row r="17" spans="4:4">
      <c r="D17" s="1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7"/>
  <sheetViews>
    <sheetView tabSelected="1" topLeftCell="A2" zoomScale="145" zoomScaleNormal="145" workbookViewId="0">
      <selection activeCell="K7" sqref="K7"/>
    </sheetView>
  </sheetViews>
  <sheetFormatPr defaultRowHeight="12.75"/>
  <cols>
    <col min="1" max="1" width="2.7109375" customWidth="1"/>
    <col min="2" max="2" width="15.28515625" customWidth="1"/>
    <col min="3" max="3" width="12.28515625" customWidth="1"/>
    <col min="4" max="5" width="8.5703125" customWidth="1"/>
    <col min="6" max="6" width="11.140625" bestFit="1" customWidth="1"/>
    <col min="7" max="7" width="12.42578125" customWidth="1"/>
    <col min="8" max="8" width="9.28515625" customWidth="1"/>
    <col min="9" max="9" width="10.140625" bestFit="1" customWidth="1"/>
    <col min="15" max="15" width="9.7109375" customWidth="1"/>
  </cols>
  <sheetData>
    <row r="1" spans="2:13">
      <c r="C1" s="23"/>
    </row>
    <row r="3" spans="2:13" ht="18">
      <c r="B3" s="16" t="s">
        <v>53</v>
      </c>
      <c r="C3" s="9"/>
      <c r="D3" s="40"/>
      <c r="E3" s="40"/>
      <c r="F3" s="40"/>
      <c r="G3" s="40"/>
      <c r="H3" s="40"/>
      <c r="I3" s="40"/>
    </row>
    <row r="5" spans="2:13">
      <c r="B5" s="7" t="s">
        <v>54</v>
      </c>
      <c r="C5" s="8"/>
    </row>
    <row r="6" spans="2:13">
      <c r="B6" s="15" t="s">
        <v>3</v>
      </c>
      <c r="C6" s="21">
        <v>2023</v>
      </c>
      <c r="D6" s="21">
        <v>2025</v>
      </c>
      <c r="E6" s="21">
        <v>2030</v>
      </c>
      <c r="F6" s="21">
        <v>2035</v>
      </c>
      <c r="G6" s="21">
        <v>2040</v>
      </c>
      <c r="H6" s="21">
        <v>2045</v>
      </c>
      <c r="I6" s="21">
        <v>2050</v>
      </c>
    </row>
    <row r="7" spans="2:13" ht="36.75" customHeight="1">
      <c r="B7" s="32" t="s">
        <v>55</v>
      </c>
      <c r="C7" s="41" t="s">
        <v>56</v>
      </c>
      <c r="D7" s="41"/>
      <c r="E7" s="41"/>
      <c r="F7" s="41"/>
      <c r="G7" s="41"/>
      <c r="H7" s="41"/>
      <c r="I7" s="41"/>
    </row>
    <row r="8" spans="2:13" ht="15.75" customHeight="1">
      <c r="B8" t="s">
        <v>61</v>
      </c>
      <c r="C8" s="40">
        <f>0.8*C13*3.6</f>
        <v>315.04320000000001</v>
      </c>
      <c r="D8" s="40">
        <f t="shared" ref="D8:I8" si="0">0.8*D13*3.6</f>
        <v>353.69490410959179</v>
      </c>
      <c r="E8" s="40">
        <f t="shared" si="0"/>
        <v>452.16</v>
      </c>
      <c r="F8" s="40">
        <f t="shared" si="0"/>
        <v>558.4273972602731</v>
      </c>
      <c r="G8" s="40">
        <f t="shared" si="0"/>
        <v>662.4</v>
      </c>
      <c r="H8" s="40">
        <f t="shared" si="0"/>
        <v>763.15989041095952</v>
      </c>
      <c r="I8" s="40">
        <f t="shared" si="0"/>
        <v>865.52613698630546</v>
      </c>
      <c r="L8" t="s">
        <v>57</v>
      </c>
      <c r="M8" s="22" t="s">
        <v>58</v>
      </c>
    </row>
    <row r="9" spans="2:13" ht="15.75" customHeight="1">
      <c r="B9" t="str">
        <f>SEC_Comm!C10</f>
        <v>ELC_IND_FIN</v>
      </c>
      <c r="C9" s="40">
        <f>0.2*C13*3.6</f>
        <v>78.760800000000003</v>
      </c>
      <c r="D9" s="40">
        <f t="shared" ref="D9:I9" si="1">0.2*D13*3.6</f>
        <v>88.423726027397947</v>
      </c>
      <c r="E9" s="40">
        <f t="shared" si="1"/>
        <v>113.04</v>
      </c>
      <c r="F9" s="40">
        <f t="shared" si="1"/>
        <v>139.60684931506827</v>
      </c>
      <c r="G9" s="40">
        <f t="shared" si="1"/>
        <v>165.6</v>
      </c>
      <c r="H9" s="40">
        <f t="shared" si="1"/>
        <v>190.78997260273988</v>
      </c>
      <c r="I9" s="40">
        <f t="shared" si="1"/>
        <v>216.38153424657636</v>
      </c>
    </row>
    <row r="10" spans="2:13" ht="15.75" customHeight="1">
      <c r="D10" s="25"/>
      <c r="E10" s="25"/>
      <c r="F10" s="25"/>
      <c r="G10" s="25"/>
      <c r="H10" s="25"/>
      <c r="I10" s="25"/>
    </row>
    <row r="11" spans="2:13" ht="15.75" customHeight="1">
      <c r="C11" s="39" t="s">
        <v>70</v>
      </c>
      <c r="D11" s="25"/>
      <c r="E11" s="25"/>
      <c r="F11" s="25"/>
      <c r="G11" s="25"/>
      <c r="H11" s="25"/>
      <c r="I11" s="25"/>
      <c r="M11" s="1"/>
    </row>
    <row r="12" spans="2:13" ht="15.75" customHeight="1">
      <c r="C12" s="21">
        <v>2023</v>
      </c>
      <c r="D12" s="21">
        <v>2025</v>
      </c>
      <c r="E12" s="21">
        <v>2030</v>
      </c>
      <c r="F12" s="21">
        <v>2035</v>
      </c>
      <c r="G12" s="21">
        <v>2040</v>
      </c>
      <c r="H12" s="21">
        <v>2045</v>
      </c>
      <c r="I12" s="21">
        <v>2050</v>
      </c>
    </row>
    <row r="13" spans="2:13">
      <c r="B13" s="1" t="s">
        <v>60</v>
      </c>
      <c r="C13" s="37">
        <v>109.39</v>
      </c>
      <c r="D13" s="38">
        <f>_xlfn.FORECAST.LINEAR(2025,{109.39;157;230}, {2023;2030;2040})</f>
        <v>122.81073059360824</v>
      </c>
      <c r="E13" s="37">
        <v>157</v>
      </c>
      <c r="F13" s="38">
        <f>_xlfn.FORECAST.LINEAR(2035,{109.39;157;230}, {2023;2030;2040})</f>
        <v>193.89840182648368</v>
      </c>
      <c r="G13" s="37">
        <v>230</v>
      </c>
      <c r="H13" s="38">
        <f>_xlfn.FORECAST.LINEAR(2045,{109.39;157;230}, {2023;2030;2040})</f>
        <v>264.98607305936093</v>
      </c>
      <c r="I13" s="38">
        <f>_xlfn.FORECAST.LINEAR(2050,{109.39;157;230}, {2023;2030;2040})</f>
        <v>300.52990867580047</v>
      </c>
    </row>
    <row r="15" spans="2:13">
      <c r="C15" s="36" t="s">
        <v>71</v>
      </c>
    </row>
    <row r="16" spans="2:13" ht="13.5" customHeight="1">
      <c r="C16" s="26"/>
      <c r="D16" s="1" t="s">
        <v>72</v>
      </c>
    </row>
    <row r="17" spans="3:12" ht="26.25" customHeight="1"/>
    <row r="18" spans="3:12" ht="25.5" customHeight="1">
      <c r="K18" s="1"/>
      <c r="L18" s="1"/>
    </row>
    <row r="19" spans="3:12" ht="26.25" customHeight="1">
      <c r="C19" s="1"/>
    </row>
    <row r="20" spans="3:12" ht="26.25" customHeight="1"/>
    <row r="21" spans="3:12" ht="25.5" customHeight="1"/>
    <row r="27" spans="3:12" ht="16.5" customHeight="1"/>
  </sheetData>
  <mergeCells count="1">
    <mergeCell ref="C7:I7"/>
  </mergeCells>
  <phoneticPr fontId="0" type="noConversion"/>
  <hyperlinks>
    <hyperlink ref="M8" r:id="rId1" xr:uid="{D8F0503E-D579-41CB-BE05-E83519FE1FE8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E37678-EE5E-4C84-8E2A-2E68C4456BA9}"/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95645557-b925-4e14-b9c3-bb0dccab904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FINAL_DEMAD_PRC</vt:lpstr>
      <vt:lpstr>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2025-05-05T05:50:55Z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608756482601165</vt:r8>
  </property>
</Properties>
</file>